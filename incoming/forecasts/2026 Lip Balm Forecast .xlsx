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maloney/Desktop/"/>
    </mc:Choice>
  </mc:AlternateContent>
  <xr:revisionPtr revIDLastSave="0" documentId="13_ncr:1_{B3008DF9-3CC5-D049-8C40-676CB0CE3271}" xr6:coauthVersionLast="47" xr6:coauthVersionMax="47" xr10:uidLastSave="{00000000-0000-0000-0000-000000000000}"/>
  <bookViews>
    <workbookView xWindow="3880" yWindow="3140" windowWidth="26840" windowHeight="15680" xr2:uid="{E9054EDB-80C6-9E46-A774-E4CD99B3AF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5" i="1" l="1"/>
  <c r="U31" i="1"/>
  <c r="T31" i="1"/>
  <c r="S31" i="1"/>
  <c r="R31" i="1"/>
  <c r="P31" i="1"/>
  <c r="O31" i="1"/>
  <c r="N31" i="1"/>
  <c r="M31" i="1"/>
  <c r="J31" i="1"/>
  <c r="I31" i="1"/>
  <c r="H31" i="1"/>
  <c r="H15" i="1"/>
  <c r="U21" i="1"/>
  <c r="U22" i="1"/>
  <c r="U23" i="1"/>
  <c r="U24" i="1"/>
  <c r="U25" i="1"/>
  <c r="U26" i="1"/>
  <c r="U27" i="1"/>
  <c r="U28" i="1"/>
  <c r="U29" i="1"/>
  <c r="U30" i="1"/>
  <c r="U20" i="1"/>
  <c r="P21" i="1"/>
  <c r="P22" i="1"/>
  <c r="P23" i="1"/>
  <c r="P24" i="1"/>
  <c r="P25" i="1"/>
  <c r="P26" i="1"/>
  <c r="P27" i="1"/>
  <c r="P28" i="1"/>
  <c r="P29" i="1"/>
  <c r="P30" i="1"/>
  <c r="P20" i="1"/>
  <c r="D31" i="1"/>
  <c r="C31" i="1"/>
  <c r="B31" i="1"/>
  <c r="K30" i="1"/>
  <c r="E30" i="1"/>
  <c r="K29" i="1"/>
  <c r="E29" i="1"/>
  <c r="K28" i="1"/>
  <c r="E28" i="1"/>
  <c r="K27" i="1"/>
  <c r="E27" i="1"/>
  <c r="K26" i="1"/>
  <c r="E26" i="1"/>
  <c r="K25" i="1"/>
  <c r="E25" i="1"/>
  <c r="K24" i="1"/>
  <c r="E24" i="1"/>
  <c r="K23" i="1"/>
  <c r="E23" i="1"/>
  <c r="K22" i="1"/>
  <c r="E22" i="1"/>
  <c r="K21" i="1"/>
  <c r="E21" i="1"/>
  <c r="K20" i="1"/>
  <c r="K31" i="1" s="1"/>
  <c r="E20" i="1"/>
  <c r="E31" i="1" s="1"/>
  <c r="O15" i="1"/>
  <c r="N15" i="1"/>
  <c r="K15" i="1"/>
  <c r="J15" i="1"/>
  <c r="G15" i="1"/>
  <c r="C15" i="1"/>
  <c r="F15" i="1"/>
  <c r="B15" i="1"/>
</calcChain>
</file>

<file path=xl/sharedStrings.xml><?xml version="1.0" encoding="utf-8"?>
<sst xmlns="http://schemas.openxmlformats.org/spreadsheetml/2006/main" count="47" uniqueCount="23">
  <si>
    <t>Orange</t>
  </si>
  <si>
    <t xml:space="preserve">Assorted </t>
  </si>
  <si>
    <t>2025 actual</t>
  </si>
  <si>
    <t xml:space="preserve">Optimistic </t>
  </si>
  <si>
    <t>Unscented</t>
  </si>
  <si>
    <t>Peppermint</t>
  </si>
  <si>
    <t xml:space="preserve">Week beginning </t>
  </si>
  <si>
    <t>Sweet Orange</t>
  </si>
  <si>
    <t xml:space="preserve">Peppermint </t>
  </si>
  <si>
    <t>Optimistic</t>
  </si>
  <si>
    <t>Mean</t>
  </si>
  <si>
    <t xml:space="preserve">Actual </t>
  </si>
  <si>
    <t>Difference</t>
  </si>
  <si>
    <t>Totals</t>
  </si>
  <si>
    <t>over estimate</t>
  </si>
  <si>
    <t xml:space="preserve">2026 Holiday Forecast (Amazon) </t>
  </si>
  <si>
    <t xml:space="preserve">2025 Forecast vs. Actual </t>
  </si>
  <si>
    <t xml:space="preserve">Estimate with Correction Factor </t>
  </si>
  <si>
    <t>Assorted</t>
  </si>
  <si>
    <t>Date</t>
  </si>
  <si>
    <t xml:space="preserve">Difference is Optimisitc vs. Actual </t>
  </si>
  <si>
    <t xml:space="preserve">"Estimate for Correction Factor" = 2026 optimistic values divided by the 2025 Optimisitc/actual ratio </t>
  </si>
  <si>
    <t xml:space="preserve">2026 Optimistic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</si>
</sst>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Calibri (Body)"/>
    </font>
    <font>
      <b/>
      <sz val="18"/>
      <color theme="1"/>
      <name val="Aptos Narrow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14" xfId="0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 wrapText="1"/>
    </xf>
    <xf numFmtId="1" fontId="0" fillId="0" borderId="14" xfId="0" applyNumberFormat="1" applyBorder="1" applyAlignment="1">
      <alignment horizontal="center"/>
    </xf>
    <xf numFmtId="0" fontId="7" fillId="0" borderId="0" xfId="0" applyFont="1"/>
    <xf numFmtId="1" fontId="5" fillId="0" borderId="14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16" fontId="6" fillId="0" borderId="10" xfId="0" applyNumberFormat="1" applyFont="1" applyBorder="1" applyAlignment="1">
      <alignment horizontal="center"/>
    </xf>
    <xf numFmtId="16" fontId="5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1947-DED0-4349-A64C-D04D63EC8C62}">
  <dimension ref="A1:W35"/>
  <sheetViews>
    <sheetView tabSelected="1" workbookViewId="0">
      <selection activeCell="E12" sqref="E12"/>
    </sheetView>
  </sheetViews>
  <sheetFormatPr baseColWidth="10" defaultRowHeight="16" x14ac:dyDescent="0.2"/>
  <cols>
    <col min="1" max="1" width="14.5" customWidth="1"/>
    <col min="2" max="2" width="14.6640625" style="2" customWidth="1"/>
    <col min="3" max="3" width="11.83203125" style="2" customWidth="1"/>
    <col min="4" max="4" width="17.5" style="20" customWidth="1"/>
    <col min="5" max="5" width="10" customWidth="1"/>
    <col min="6" max="6" width="14.5" style="2" customWidth="1"/>
    <col min="7" max="7" width="10.83203125" style="2"/>
    <col min="8" max="8" width="17.33203125" style="2" customWidth="1"/>
    <col min="9" max="9" width="8.83203125" customWidth="1"/>
    <col min="10" max="10" width="15.1640625" style="2" customWidth="1"/>
    <col min="11" max="11" width="12.1640625" style="2" customWidth="1"/>
    <col min="12" max="12" width="15.5" style="20" customWidth="1"/>
    <col min="13" max="13" width="10.1640625" customWidth="1"/>
    <col min="14" max="14" width="14.6640625" customWidth="1"/>
    <col min="16" max="16" width="15.83203125" style="2" customWidth="1"/>
    <col min="18" max="18" width="12.1640625" customWidth="1"/>
    <col min="23" max="23" width="15.6640625" style="2" customWidth="1"/>
  </cols>
  <sheetData>
    <row r="1" spans="1:16" ht="24" x14ac:dyDescent="0.3">
      <c r="A1" s="31" t="s">
        <v>15</v>
      </c>
    </row>
    <row r="2" spans="1:16" x14ac:dyDescent="0.2">
      <c r="A2" s="39" t="s">
        <v>0</v>
      </c>
      <c r="B2" s="40"/>
      <c r="C2" s="40"/>
      <c r="D2" s="41"/>
      <c r="E2" s="2"/>
      <c r="F2" s="39" t="s">
        <v>4</v>
      </c>
      <c r="G2" s="40"/>
      <c r="H2" s="41"/>
      <c r="J2" s="39" t="s">
        <v>18</v>
      </c>
      <c r="K2" s="40"/>
      <c r="L2" s="41"/>
      <c r="N2" s="39" t="s">
        <v>5</v>
      </c>
      <c r="O2" s="40"/>
      <c r="P2" s="41"/>
    </row>
    <row r="3" spans="1:16" ht="51" x14ac:dyDescent="0.2">
      <c r="A3" s="28" t="s">
        <v>19</v>
      </c>
      <c r="B3" s="28" t="s">
        <v>22</v>
      </c>
      <c r="C3" s="28" t="s">
        <v>2</v>
      </c>
      <c r="D3" s="29" t="s">
        <v>17</v>
      </c>
      <c r="E3" s="19"/>
      <c r="F3" s="28" t="s">
        <v>22</v>
      </c>
      <c r="G3" s="28" t="s">
        <v>2</v>
      </c>
      <c r="H3" s="29" t="s">
        <v>17</v>
      </c>
      <c r="J3" s="28" t="s">
        <v>22</v>
      </c>
      <c r="K3" s="28" t="s">
        <v>2</v>
      </c>
      <c r="L3" s="29" t="s">
        <v>17</v>
      </c>
      <c r="M3" s="21"/>
      <c r="N3" s="28" t="s">
        <v>22</v>
      </c>
      <c r="O3" s="28" t="s">
        <v>2</v>
      </c>
      <c r="P3" s="29" t="s">
        <v>17</v>
      </c>
    </row>
    <row r="4" spans="1:16" x14ac:dyDescent="0.2">
      <c r="A4" s="53">
        <v>46341</v>
      </c>
      <c r="B4" s="25">
        <v>1965</v>
      </c>
      <c r="C4" s="25">
        <v>609</v>
      </c>
      <c r="D4" s="30">
        <v>1242.6635514018692</v>
      </c>
      <c r="E4" s="13"/>
      <c r="F4" s="25">
        <v>1536</v>
      </c>
      <c r="G4" s="26">
        <v>454</v>
      </c>
      <c r="H4" s="32">
        <v>976.67226890756297</v>
      </c>
      <c r="I4" s="26"/>
      <c r="J4" s="25">
        <v>1870</v>
      </c>
      <c r="K4" s="25">
        <v>607</v>
      </c>
      <c r="L4" s="30">
        <v>1403.0778739184177</v>
      </c>
      <c r="N4" s="25">
        <v>897</v>
      </c>
      <c r="O4" s="26">
        <v>331</v>
      </c>
      <c r="P4" s="30">
        <v>633.06396588486132</v>
      </c>
    </row>
    <row r="5" spans="1:16" x14ac:dyDescent="0.2">
      <c r="A5" s="53">
        <v>46348</v>
      </c>
      <c r="B5" s="25">
        <v>2821</v>
      </c>
      <c r="C5" s="25">
        <v>630</v>
      </c>
      <c r="D5" s="30">
        <v>1078.766606822262</v>
      </c>
      <c r="E5" s="13"/>
      <c r="F5" s="25">
        <v>2269</v>
      </c>
      <c r="G5" s="26">
        <v>561</v>
      </c>
      <c r="H5" s="32">
        <v>1011.8513513513515</v>
      </c>
      <c r="I5" s="26"/>
      <c r="J5" s="25">
        <v>2629</v>
      </c>
      <c r="K5" s="25">
        <v>593</v>
      </c>
      <c r="L5" s="30">
        <v>1111.9807417974323</v>
      </c>
      <c r="N5" s="25">
        <v>1498</v>
      </c>
      <c r="O5" s="26">
        <v>290</v>
      </c>
      <c r="P5" s="30">
        <v>518.40095465393802</v>
      </c>
    </row>
    <row r="6" spans="1:16" x14ac:dyDescent="0.2">
      <c r="A6" s="53">
        <v>46355</v>
      </c>
      <c r="B6" s="25">
        <v>2617</v>
      </c>
      <c r="C6" s="25">
        <v>780</v>
      </c>
      <c r="D6" s="30">
        <v>1330.6779661016949</v>
      </c>
      <c r="E6" s="13"/>
      <c r="F6" s="25">
        <v>2025</v>
      </c>
      <c r="G6" s="26">
        <v>634</v>
      </c>
      <c r="H6" s="32">
        <v>1146.2946428571429</v>
      </c>
      <c r="I6" s="26"/>
      <c r="J6" s="25">
        <v>3045</v>
      </c>
      <c r="K6" s="25">
        <v>900</v>
      </c>
      <c r="L6" s="30">
        <v>2274.2738589211622</v>
      </c>
      <c r="N6" s="25">
        <v>1226</v>
      </c>
      <c r="O6" s="26">
        <v>453</v>
      </c>
      <c r="P6" s="30">
        <v>799.10503597122295</v>
      </c>
    </row>
    <row r="7" spans="1:16" x14ac:dyDescent="0.2">
      <c r="A7" s="53">
        <v>46362</v>
      </c>
      <c r="B7" s="25">
        <v>2814</v>
      </c>
      <c r="C7" s="25">
        <v>962</v>
      </c>
      <c r="D7" s="30">
        <v>1462.4894651539707</v>
      </c>
      <c r="E7" s="13"/>
      <c r="F7" s="25">
        <v>2339</v>
      </c>
      <c r="G7" s="27">
        <v>736</v>
      </c>
      <c r="H7" s="32">
        <v>1420.3828382838283</v>
      </c>
      <c r="I7" s="27"/>
      <c r="J7" s="25">
        <v>3121</v>
      </c>
      <c r="K7" s="25">
        <v>1077</v>
      </c>
      <c r="L7" s="30">
        <v>2380.5361189801697</v>
      </c>
      <c r="N7" s="25">
        <v>1219</v>
      </c>
      <c r="O7" s="27">
        <v>515</v>
      </c>
      <c r="P7" s="30">
        <v>724.92494226327949</v>
      </c>
    </row>
    <row r="8" spans="1:16" x14ac:dyDescent="0.2">
      <c r="A8" s="53">
        <v>46369</v>
      </c>
      <c r="B8" s="25">
        <v>2783</v>
      </c>
      <c r="C8" s="25">
        <v>1452</v>
      </c>
      <c r="D8" s="30">
        <v>1953.0768487191879</v>
      </c>
      <c r="E8" s="13"/>
      <c r="F8" s="25">
        <v>2347</v>
      </c>
      <c r="G8" s="26">
        <v>1194</v>
      </c>
      <c r="H8" s="32">
        <v>2110.1792168674697</v>
      </c>
      <c r="I8" s="26"/>
      <c r="J8" s="25">
        <v>3454</v>
      </c>
      <c r="K8" s="25">
        <v>2000</v>
      </c>
      <c r="L8" s="30">
        <v>4498.2847854356305</v>
      </c>
      <c r="N8" s="25">
        <v>1221</v>
      </c>
      <c r="O8" s="26">
        <v>816</v>
      </c>
      <c r="P8" s="30">
        <v>1072.4822389666308</v>
      </c>
    </row>
    <row r="9" spans="1:16" x14ac:dyDescent="0.2">
      <c r="A9" s="53">
        <v>46376</v>
      </c>
      <c r="B9" s="25">
        <v>1615</v>
      </c>
      <c r="C9" s="25">
        <v>1586</v>
      </c>
      <c r="D9" s="30">
        <v>1629.382951653944</v>
      </c>
      <c r="E9" s="13"/>
      <c r="F9" s="25">
        <v>1285</v>
      </c>
      <c r="G9" s="26">
        <v>1336</v>
      </c>
      <c r="H9" s="32">
        <v>1734.1010101010102</v>
      </c>
      <c r="I9" s="26"/>
      <c r="J9" s="25">
        <v>1816</v>
      </c>
      <c r="K9" s="25">
        <v>2571</v>
      </c>
      <c r="L9" s="30">
        <v>3973.5625531914893</v>
      </c>
      <c r="N9" s="25">
        <v>838</v>
      </c>
      <c r="O9" s="26">
        <v>971</v>
      </c>
      <c r="P9" s="30">
        <v>1155.8210227272727</v>
      </c>
    </row>
    <row r="10" spans="1:16" x14ac:dyDescent="0.2">
      <c r="A10" s="53">
        <v>46383</v>
      </c>
      <c r="B10" s="25">
        <v>1565</v>
      </c>
      <c r="C10" s="25">
        <v>720</v>
      </c>
      <c r="D10" s="30">
        <v>832.81596452328165</v>
      </c>
      <c r="E10" s="13"/>
      <c r="F10" s="25">
        <v>1392</v>
      </c>
      <c r="G10" s="26">
        <v>600</v>
      </c>
      <c r="H10" s="32">
        <v>881.01265822784808</v>
      </c>
      <c r="I10" s="26"/>
      <c r="J10" s="25">
        <v>2019</v>
      </c>
      <c r="K10" s="25">
        <v>919</v>
      </c>
      <c r="L10" s="30">
        <v>1748.7851083883129</v>
      </c>
      <c r="N10" s="25">
        <v>704</v>
      </c>
      <c r="O10" s="26">
        <v>409</v>
      </c>
      <c r="P10" s="30">
        <v>480.69449081803003</v>
      </c>
    </row>
    <row r="11" spans="1:16" x14ac:dyDescent="0.2">
      <c r="A11" s="53">
        <v>46025</v>
      </c>
      <c r="B11" s="25">
        <v>1819</v>
      </c>
      <c r="C11" s="25">
        <v>693</v>
      </c>
      <c r="D11" s="30">
        <v>970.41339491916858</v>
      </c>
      <c r="E11" s="13"/>
      <c r="F11" s="25">
        <v>1371</v>
      </c>
      <c r="G11" s="26">
        <v>601</v>
      </c>
      <c r="H11" s="32">
        <v>879.37139807897552</v>
      </c>
      <c r="I11" s="26"/>
      <c r="J11" s="25">
        <v>2428</v>
      </c>
      <c r="K11" s="25">
        <v>718</v>
      </c>
      <c r="L11" s="30">
        <v>1697.4722492697176</v>
      </c>
      <c r="N11" s="25">
        <v>829</v>
      </c>
      <c r="O11" s="26">
        <v>336</v>
      </c>
      <c r="P11" s="30">
        <v>490.3943661971831</v>
      </c>
    </row>
    <row r="12" spans="1:16" x14ac:dyDescent="0.2">
      <c r="A12" s="53">
        <v>46032</v>
      </c>
      <c r="B12" s="25">
        <v>1652</v>
      </c>
      <c r="C12" s="25">
        <v>589</v>
      </c>
      <c r="D12" s="30">
        <v>825.29940627650558</v>
      </c>
      <c r="E12" s="13"/>
      <c r="F12" s="25">
        <v>1261</v>
      </c>
      <c r="G12" s="26">
        <v>538</v>
      </c>
      <c r="H12" s="32">
        <v>752.96115427302993</v>
      </c>
      <c r="I12" s="26"/>
      <c r="J12" s="25">
        <v>1839</v>
      </c>
      <c r="K12" s="25">
        <v>627</v>
      </c>
      <c r="L12" s="30">
        <v>1155.3637274549098</v>
      </c>
      <c r="N12" s="25">
        <v>740</v>
      </c>
      <c r="O12" s="26">
        <v>288</v>
      </c>
      <c r="P12" s="30">
        <v>393.9371534195933</v>
      </c>
    </row>
    <row r="13" spans="1:16" x14ac:dyDescent="0.2">
      <c r="A13" s="53">
        <v>46039</v>
      </c>
      <c r="B13" s="25">
        <v>1662</v>
      </c>
      <c r="C13" s="25">
        <v>738</v>
      </c>
      <c r="D13" s="30">
        <v>1130.5286506469502</v>
      </c>
      <c r="E13" s="13"/>
      <c r="F13" s="25">
        <v>1033</v>
      </c>
      <c r="G13" s="26">
        <v>591</v>
      </c>
      <c r="H13" s="32">
        <v>706.60069444444446</v>
      </c>
      <c r="I13" s="26"/>
      <c r="J13" s="25">
        <v>1467</v>
      </c>
      <c r="K13" s="25">
        <v>744</v>
      </c>
      <c r="L13" s="30">
        <v>1154.9714285714285</v>
      </c>
      <c r="N13" s="25">
        <v>744</v>
      </c>
      <c r="O13" s="26">
        <v>345</v>
      </c>
      <c r="P13" s="30">
        <v>485.21739130434781</v>
      </c>
    </row>
    <row r="14" spans="1:16" x14ac:dyDescent="0.2">
      <c r="A14" s="54">
        <v>46046</v>
      </c>
      <c r="B14" s="25">
        <v>1514</v>
      </c>
      <c r="C14" s="25">
        <v>802</v>
      </c>
      <c r="D14" s="30">
        <v>1152.0189753320683</v>
      </c>
      <c r="E14" s="13"/>
      <c r="F14" s="25">
        <v>945</v>
      </c>
      <c r="G14" s="26">
        <v>733</v>
      </c>
      <c r="H14" s="32">
        <v>850.96437346437335</v>
      </c>
      <c r="I14" s="26"/>
      <c r="J14" s="25">
        <v>1303</v>
      </c>
      <c r="K14" s="25">
        <v>813</v>
      </c>
      <c r="L14" s="30">
        <v>1234.6608391608393</v>
      </c>
      <c r="N14" s="25">
        <v>674</v>
      </c>
      <c r="O14" s="26">
        <v>412</v>
      </c>
      <c r="P14" s="30">
        <v>530.95219885277243</v>
      </c>
    </row>
    <row r="15" spans="1:16" x14ac:dyDescent="0.2">
      <c r="B15" s="3">
        <f>SUM(B4:B14)</f>
        <v>22827</v>
      </c>
      <c r="C15" s="3">
        <f>SUM(C4:C14)</f>
        <v>9561</v>
      </c>
      <c r="D15" s="24">
        <v>13608.133781550901</v>
      </c>
      <c r="F15" s="3">
        <f>SUM(F4:F14)</f>
        <v>17803</v>
      </c>
      <c r="G15" s="3">
        <f>SUM(G4:G14)</f>
        <v>7978</v>
      </c>
      <c r="H15" s="24">
        <f>SUM(H4:H14)</f>
        <v>12470.391606857038</v>
      </c>
      <c r="J15" s="3">
        <f>SUM(J4:J14)</f>
        <v>24991</v>
      </c>
      <c r="K15" s="3">
        <f>SUM(K4:K14)</f>
        <v>11569</v>
      </c>
      <c r="L15" s="24">
        <v>22632.969285089512</v>
      </c>
      <c r="N15" s="3">
        <f>SUM(N4:N14)</f>
        <v>10590</v>
      </c>
      <c r="O15" s="3">
        <f>SUM(O4:O14)</f>
        <v>5166</v>
      </c>
      <c r="P15" s="24">
        <f>SUM(P4:P14)</f>
        <v>7284.9937610591323</v>
      </c>
    </row>
    <row r="17" spans="1:23" s="1" customFormat="1" ht="24" x14ac:dyDescent="0.3">
      <c r="A17" s="31" t="s">
        <v>16</v>
      </c>
      <c r="B17" s="3"/>
      <c r="C17" s="3"/>
      <c r="D17" s="24"/>
      <c r="F17" s="3"/>
      <c r="G17" s="3"/>
      <c r="H17" s="3"/>
      <c r="J17" s="3"/>
      <c r="K17" s="3"/>
      <c r="L17" s="24"/>
      <c r="P17" s="3"/>
      <c r="R17" s="36"/>
      <c r="S17" s="37"/>
      <c r="T17" s="38"/>
      <c r="U17" s="38"/>
      <c r="V17" s="38"/>
      <c r="W17" s="38"/>
    </row>
    <row r="18" spans="1:23" x14ac:dyDescent="0.2">
      <c r="A18" s="4" t="s">
        <v>6</v>
      </c>
      <c r="B18" s="5" t="s">
        <v>7</v>
      </c>
      <c r="C18" s="6"/>
      <c r="D18" s="6"/>
      <c r="E18" s="7"/>
      <c r="F18" s="35"/>
      <c r="G18" s="8"/>
      <c r="H18" s="5" t="s">
        <v>4</v>
      </c>
      <c r="I18" s="6"/>
      <c r="J18" s="6"/>
      <c r="K18" s="7"/>
      <c r="L18" s="33"/>
      <c r="M18" s="50" t="s">
        <v>1</v>
      </c>
      <c r="N18" s="51"/>
      <c r="O18" s="51"/>
      <c r="P18" s="52"/>
      <c r="Q18" s="34"/>
      <c r="R18" s="39" t="s">
        <v>8</v>
      </c>
      <c r="S18" s="40"/>
      <c r="T18" s="40"/>
      <c r="U18" s="41"/>
    </row>
    <row r="19" spans="1:23" x14ac:dyDescent="0.2">
      <c r="A19" s="9"/>
      <c r="B19" s="42" t="s">
        <v>9</v>
      </c>
      <c r="C19" s="42" t="s">
        <v>10</v>
      </c>
      <c r="D19" s="47" t="s">
        <v>11</v>
      </c>
      <c r="E19" s="42" t="s">
        <v>12</v>
      </c>
      <c r="F19" s="10"/>
      <c r="G19" s="10"/>
      <c r="H19" s="42" t="s">
        <v>9</v>
      </c>
      <c r="I19" s="42" t="s">
        <v>10</v>
      </c>
      <c r="J19" s="42" t="s">
        <v>11</v>
      </c>
      <c r="K19" s="47" t="s">
        <v>12</v>
      </c>
      <c r="L19" s="10"/>
      <c r="M19" s="42" t="s">
        <v>3</v>
      </c>
      <c r="N19" s="42" t="s">
        <v>10</v>
      </c>
      <c r="O19" s="14" t="s">
        <v>11</v>
      </c>
      <c r="P19" s="42" t="s">
        <v>12</v>
      </c>
      <c r="Q19" s="11"/>
      <c r="R19" s="42" t="s">
        <v>9</v>
      </c>
      <c r="S19" s="42" t="s">
        <v>10</v>
      </c>
      <c r="T19" s="42" t="s">
        <v>11</v>
      </c>
      <c r="U19" s="42" t="s">
        <v>12</v>
      </c>
      <c r="W19"/>
    </row>
    <row r="20" spans="1:23" x14ac:dyDescent="0.2">
      <c r="A20" s="44">
        <v>45977</v>
      </c>
      <c r="B20" s="26">
        <v>963</v>
      </c>
      <c r="C20" s="26">
        <v>706</v>
      </c>
      <c r="D20" s="48">
        <v>609</v>
      </c>
      <c r="E20" s="43">
        <f>B20-D20</f>
        <v>354</v>
      </c>
      <c r="F20" s="13"/>
      <c r="G20" s="13"/>
      <c r="H20" s="26">
        <v>714</v>
      </c>
      <c r="I20" s="26">
        <v>520</v>
      </c>
      <c r="J20" s="26">
        <v>454</v>
      </c>
      <c r="K20" s="32">
        <f>H20-J20</f>
        <v>260</v>
      </c>
      <c r="L20" s="12"/>
      <c r="M20" s="26">
        <v>809</v>
      </c>
      <c r="N20" s="26">
        <v>564</v>
      </c>
      <c r="O20" s="43">
        <v>607</v>
      </c>
      <c r="P20" s="43">
        <f>M20-O20</f>
        <v>202</v>
      </c>
      <c r="Q20" s="13"/>
      <c r="R20" s="26">
        <v>469</v>
      </c>
      <c r="S20" s="26">
        <v>350</v>
      </c>
      <c r="T20" s="26">
        <v>331</v>
      </c>
      <c r="U20" s="25">
        <f>R20-T20</f>
        <v>138</v>
      </c>
      <c r="W20"/>
    </row>
    <row r="21" spans="1:23" x14ac:dyDescent="0.2">
      <c r="A21" s="44">
        <v>45984</v>
      </c>
      <c r="B21" s="26">
        <v>1671</v>
      </c>
      <c r="C21" s="26">
        <v>1073</v>
      </c>
      <c r="D21" s="48">
        <v>639</v>
      </c>
      <c r="E21" s="43">
        <f>B21-D21</f>
        <v>1032</v>
      </c>
      <c r="F21" s="13"/>
      <c r="G21" s="13"/>
      <c r="H21" s="26">
        <v>1258</v>
      </c>
      <c r="I21" s="26">
        <v>774</v>
      </c>
      <c r="J21" s="26">
        <v>561</v>
      </c>
      <c r="K21" s="32">
        <f>H21-J21</f>
        <v>697</v>
      </c>
      <c r="L21" s="12"/>
      <c r="M21" s="26">
        <v>1402</v>
      </c>
      <c r="N21" s="26">
        <v>870</v>
      </c>
      <c r="O21" s="43">
        <v>593</v>
      </c>
      <c r="P21" s="43">
        <f t="shared" ref="P21:P30" si="0">M21-O21</f>
        <v>809</v>
      </c>
      <c r="Q21" s="13"/>
      <c r="R21" s="26">
        <v>838</v>
      </c>
      <c r="S21" s="26">
        <v>510</v>
      </c>
      <c r="T21" s="26">
        <v>290</v>
      </c>
      <c r="U21" s="25">
        <f t="shared" ref="U21:U30" si="1">R21-T21</f>
        <v>548</v>
      </c>
      <c r="W21"/>
    </row>
    <row r="22" spans="1:23" x14ac:dyDescent="0.2">
      <c r="A22" s="44">
        <v>45991</v>
      </c>
      <c r="B22" s="26">
        <v>1534</v>
      </c>
      <c r="C22" s="26">
        <v>1017</v>
      </c>
      <c r="D22" s="48">
        <v>780</v>
      </c>
      <c r="E22" s="43">
        <f>B22-D22</f>
        <v>754</v>
      </c>
      <c r="F22" s="13"/>
      <c r="G22" s="13"/>
      <c r="H22" s="26">
        <v>1120</v>
      </c>
      <c r="I22" s="26">
        <v>718</v>
      </c>
      <c r="J22" s="26">
        <v>634</v>
      </c>
      <c r="K22" s="32">
        <f>H22-J22</f>
        <v>486</v>
      </c>
      <c r="L22" s="12"/>
      <c r="M22" s="26">
        <v>1205</v>
      </c>
      <c r="N22" s="26">
        <v>776</v>
      </c>
      <c r="O22" s="43">
        <v>900</v>
      </c>
      <c r="P22" s="43">
        <f t="shared" si="0"/>
        <v>305</v>
      </c>
      <c r="Q22" s="13"/>
      <c r="R22" s="26">
        <v>695</v>
      </c>
      <c r="S22" s="26">
        <v>454</v>
      </c>
      <c r="T22" s="26">
        <v>453</v>
      </c>
      <c r="U22" s="25">
        <f t="shared" si="1"/>
        <v>242</v>
      </c>
      <c r="W22"/>
    </row>
    <row r="23" spans="1:23" x14ac:dyDescent="0.2">
      <c r="A23" s="45">
        <v>45998</v>
      </c>
      <c r="B23" s="27">
        <v>1851</v>
      </c>
      <c r="C23" s="27">
        <v>1196</v>
      </c>
      <c r="D23" s="49">
        <v>962</v>
      </c>
      <c r="E23" s="43">
        <f>B23-D23</f>
        <v>889</v>
      </c>
      <c r="F23" s="15"/>
      <c r="G23" s="15"/>
      <c r="H23" s="27">
        <v>1212</v>
      </c>
      <c r="I23" s="27">
        <v>768</v>
      </c>
      <c r="J23" s="27">
        <v>736</v>
      </c>
      <c r="K23" s="32">
        <f>H23-J23</f>
        <v>476</v>
      </c>
      <c r="L23" s="15"/>
      <c r="M23" s="27">
        <v>1412</v>
      </c>
      <c r="N23" s="27">
        <v>895</v>
      </c>
      <c r="O23" s="27">
        <v>1077</v>
      </c>
      <c r="P23" s="43">
        <f t="shared" si="0"/>
        <v>335</v>
      </c>
      <c r="Q23" s="13"/>
      <c r="R23" s="27">
        <v>866</v>
      </c>
      <c r="S23" s="27">
        <v>545</v>
      </c>
      <c r="T23" s="27">
        <v>515</v>
      </c>
      <c r="U23" s="25">
        <f t="shared" si="1"/>
        <v>351</v>
      </c>
      <c r="W23"/>
    </row>
    <row r="24" spans="1:23" x14ac:dyDescent="0.2">
      <c r="A24" s="44">
        <v>46005</v>
      </c>
      <c r="B24" s="26">
        <v>2069</v>
      </c>
      <c r="C24" s="26">
        <v>1309</v>
      </c>
      <c r="D24" s="48">
        <v>1452</v>
      </c>
      <c r="E24" s="43">
        <f>B24-D24</f>
        <v>617</v>
      </c>
      <c r="F24" s="13"/>
      <c r="G24" s="13"/>
      <c r="H24" s="26">
        <v>1328</v>
      </c>
      <c r="I24" s="26">
        <v>836</v>
      </c>
      <c r="J24" s="26">
        <v>1194</v>
      </c>
      <c r="K24" s="32">
        <f>H24-J24</f>
        <v>134</v>
      </c>
      <c r="L24" s="12"/>
      <c r="M24" s="26">
        <v>1538</v>
      </c>
      <c r="N24" s="26">
        <v>962</v>
      </c>
      <c r="O24" s="43">
        <v>2003</v>
      </c>
      <c r="P24" s="43">
        <f t="shared" si="0"/>
        <v>-465</v>
      </c>
      <c r="Q24" s="13"/>
      <c r="R24" s="26">
        <v>929</v>
      </c>
      <c r="S24" s="26">
        <v>586</v>
      </c>
      <c r="T24" s="26">
        <v>816</v>
      </c>
      <c r="U24" s="25">
        <f t="shared" si="1"/>
        <v>113</v>
      </c>
      <c r="W24"/>
    </row>
    <row r="25" spans="1:23" x14ac:dyDescent="0.2">
      <c r="A25" s="44">
        <v>46012</v>
      </c>
      <c r="B25" s="26">
        <v>1572</v>
      </c>
      <c r="C25" s="26">
        <v>958</v>
      </c>
      <c r="D25" s="48">
        <v>1586</v>
      </c>
      <c r="E25" s="43">
        <f>B25-D25</f>
        <v>-14</v>
      </c>
      <c r="F25" s="13"/>
      <c r="G25" s="13"/>
      <c r="H25" s="26">
        <v>990</v>
      </c>
      <c r="I25" s="26">
        <v>599</v>
      </c>
      <c r="J25" s="26">
        <v>1336</v>
      </c>
      <c r="K25" s="32">
        <f>H25-J25</f>
        <v>-346</v>
      </c>
      <c r="L25" s="12"/>
      <c r="M25" s="26">
        <v>1175</v>
      </c>
      <c r="N25" s="26">
        <v>677</v>
      </c>
      <c r="O25" s="43">
        <v>2571</v>
      </c>
      <c r="P25" s="43">
        <f t="shared" si="0"/>
        <v>-1396</v>
      </c>
      <c r="Q25" s="13"/>
      <c r="R25" s="26">
        <v>704</v>
      </c>
      <c r="S25" s="26">
        <v>419</v>
      </c>
      <c r="T25" s="26">
        <v>971</v>
      </c>
      <c r="U25" s="25">
        <f t="shared" si="1"/>
        <v>-267</v>
      </c>
      <c r="W25"/>
    </row>
    <row r="26" spans="1:23" x14ac:dyDescent="0.2">
      <c r="A26" s="44">
        <v>46019</v>
      </c>
      <c r="B26" s="26">
        <v>1353</v>
      </c>
      <c r="C26" s="26">
        <v>839</v>
      </c>
      <c r="D26" s="48">
        <v>720</v>
      </c>
      <c r="E26" s="43">
        <f>B26-D26</f>
        <v>633</v>
      </c>
      <c r="F26" s="13"/>
      <c r="G26" s="13"/>
      <c r="H26" s="26">
        <v>948</v>
      </c>
      <c r="I26" s="26">
        <v>598</v>
      </c>
      <c r="J26" s="26">
        <v>600</v>
      </c>
      <c r="K26" s="32">
        <f>H26-J26</f>
        <v>348</v>
      </c>
      <c r="L26" s="12"/>
      <c r="M26" s="26">
        <v>1061</v>
      </c>
      <c r="N26" s="26">
        <v>641</v>
      </c>
      <c r="O26" s="43">
        <v>919</v>
      </c>
      <c r="P26" s="43">
        <f t="shared" si="0"/>
        <v>142</v>
      </c>
      <c r="Q26" s="13"/>
      <c r="R26" s="26">
        <v>599</v>
      </c>
      <c r="S26" s="26">
        <v>386</v>
      </c>
      <c r="T26" s="26">
        <v>409</v>
      </c>
      <c r="U26" s="25">
        <f t="shared" si="1"/>
        <v>190</v>
      </c>
      <c r="W26"/>
    </row>
    <row r="27" spans="1:23" x14ac:dyDescent="0.2">
      <c r="A27" s="44">
        <v>45661</v>
      </c>
      <c r="B27" s="26">
        <v>1299</v>
      </c>
      <c r="C27" s="26">
        <v>807</v>
      </c>
      <c r="D27" s="48">
        <v>693</v>
      </c>
      <c r="E27" s="43">
        <f>B27-D27</f>
        <v>606</v>
      </c>
      <c r="F27" s="13"/>
      <c r="G27" s="13"/>
      <c r="H27" s="26">
        <v>937</v>
      </c>
      <c r="I27" s="26">
        <v>589</v>
      </c>
      <c r="J27" s="26">
        <v>601</v>
      </c>
      <c r="K27" s="32">
        <f>H27-J27</f>
        <v>336</v>
      </c>
      <c r="L27" s="12"/>
      <c r="M27" s="26">
        <v>1027</v>
      </c>
      <c r="N27" s="26">
        <v>629</v>
      </c>
      <c r="O27" s="43">
        <v>718</v>
      </c>
      <c r="P27" s="43">
        <f t="shared" si="0"/>
        <v>309</v>
      </c>
      <c r="Q27" s="13"/>
      <c r="R27" s="26">
        <v>568</v>
      </c>
      <c r="S27" s="26">
        <v>372</v>
      </c>
      <c r="T27" s="26">
        <v>336</v>
      </c>
      <c r="U27" s="25">
        <f t="shared" si="1"/>
        <v>232</v>
      </c>
      <c r="W27"/>
    </row>
    <row r="28" spans="1:23" x14ac:dyDescent="0.2">
      <c r="A28" s="44">
        <v>45668</v>
      </c>
      <c r="B28" s="26">
        <v>1179</v>
      </c>
      <c r="C28" s="26">
        <v>751</v>
      </c>
      <c r="D28" s="48">
        <v>589</v>
      </c>
      <c r="E28" s="43">
        <f>B28-D28</f>
        <v>590</v>
      </c>
      <c r="F28" s="13"/>
      <c r="G28" s="13"/>
      <c r="H28" s="26">
        <v>901</v>
      </c>
      <c r="I28" s="26">
        <v>579</v>
      </c>
      <c r="J28" s="26">
        <v>538</v>
      </c>
      <c r="K28" s="32">
        <f>H28-J28</f>
        <v>363</v>
      </c>
      <c r="L28" s="12"/>
      <c r="M28" s="26">
        <v>998</v>
      </c>
      <c r="N28" s="26">
        <v>621</v>
      </c>
      <c r="O28" s="43">
        <v>627</v>
      </c>
      <c r="P28" s="43">
        <f t="shared" si="0"/>
        <v>371</v>
      </c>
      <c r="Q28" s="13"/>
      <c r="R28" s="26">
        <v>541</v>
      </c>
      <c r="S28" s="26">
        <v>362</v>
      </c>
      <c r="T28" s="26">
        <v>288</v>
      </c>
      <c r="U28" s="25">
        <f t="shared" si="1"/>
        <v>253</v>
      </c>
      <c r="W28"/>
    </row>
    <row r="29" spans="1:23" x14ac:dyDescent="0.2">
      <c r="A29" s="44">
        <v>45675</v>
      </c>
      <c r="B29" s="26">
        <v>1082</v>
      </c>
      <c r="C29" s="26">
        <v>701</v>
      </c>
      <c r="D29" s="48">
        <v>736</v>
      </c>
      <c r="E29" s="43">
        <f>B29-D29</f>
        <v>346</v>
      </c>
      <c r="F29" s="13"/>
      <c r="G29" s="13"/>
      <c r="H29" s="26">
        <v>864</v>
      </c>
      <c r="I29" s="26">
        <v>562</v>
      </c>
      <c r="J29" s="26">
        <v>591</v>
      </c>
      <c r="K29" s="32">
        <f>H29-J29</f>
        <v>273</v>
      </c>
      <c r="L29" s="12"/>
      <c r="M29" s="26">
        <v>945</v>
      </c>
      <c r="N29" s="26">
        <v>593</v>
      </c>
      <c r="O29" s="43">
        <v>744</v>
      </c>
      <c r="P29" s="43">
        <f t="shared" si="0"/>
        <v>201</v>
      </c>
      <c r="Q29" s="13"/>
      <c r="R29" s="26">
        <v>529</v>
      </c>
      <c r="S29" s="26">
        <v>354</v>
      </c>
      <c r="T29" s="26">
        <v>345</v>
      </c>
      <c r="U29" s="25">
        <f t="shared" si="1"/>
        <v>184</v>
      </c>
      <c r="W29"/>
    </row>
    <row r="30" spans="1:23" x14ac:dyDescent="0.2">
      <c r="A30" s="46">
        <v>45682</v>
      </c>
      <c r="B30" s="26">
        <v>1054</v>
      </c>
      <c r="C30" s="26">
        <v>689</v>
      </c>
      <c r="D30" s="32">
        <v>802</v>
      </c>
      <c r="E30" s="43">
        <f>B30-D30</f>
        <v>252</v>
      </c>
      <c r="F30" s="16"/>
      <c r="G30" s="16"/>
      <c r="H30" s="26">
        <v>814</v>
      </c>
      <c r="I30" s="26">
        <v>535</v>
      </c>
      <c r="J30" s="26">
        <v>733</v>
      </c>
      <c r="K30" s="32">
        <f>H30-J30</f>
        <v>81</v>
      </c>
      <c r="L30" s="16"/>
      <c r="M30" s="26">
        <v>858</v>
      </c>
      <c r="N30" s="26">
        <v>541</v>
      </c>
      <c r="O30" s="26">
        <v>813</v>
      </c>
      <c r="P30" s="43">
        <f t="shared" si="0"/>
        <v>45</v>
      </c>
      <c r="Q30" s="13"/>
      <c r="R30" s="26">
        <v>523</v>
      </c>
      <c r="S30" s="26">
        <v>349</v>
      </c>
      <c r="T30" s="26">
        <v>412</v>
      </c>
      <c r="U30" s="25">
        <f t="shared" si="1"/>
        <v>111</v>
      </c>
      <c r="W30"/>
    </row>
    <row r="31" spans="1:23" x14ac:dyDescent="0.2">
      <c r="A31" s="17" t="s">
        <v>13</v>
      </c>
      <c r="B31" s="17">
        <f t="shared" ref="B31:D31" si="2">SUM(B20:B30)</f>
        <v>15627</v>
      </c>
      <c r="C31" s="17">
        <f t="shared" si="2"/>
        <v>10046</v>
      </c>
      <c r="D31" s="22">
        <f t="shared" si="2"/>
        <v>9568</v>
      </c>
      <c r="E31" s="17">
        <f>SUM(E20:E30)</f>
        <v>6059</v>
      </c>
      <c r="F31" s="17"/>
      <c r="G31" s="17"/>
      <c r="H31" s="17">
        <f>SUM(H20:H30)</f>
        <v>11086</v>
      </c>
      <c r="I31" s="17">
        <f>SUM(I20:I30)</f>
        <v>7078</v>
      </c>
      <c r="J31" s="17">
        <f>SUM(J20:J30)</f>
        <v>7978</v>
      </c>
      <c r="K31" s="22">
        <f>SUM(K20:K30)</f>
        <v>3108</v>
      </c>
      <c r="L31" s="22"/>
      <c r="M31" s="17">
        <f>SUM(M20:M30)</f>
        <v>12430</v>
      </c>
      <c r="N31" s="17">
        <f>SUM(N20:N30)</f>
        <v>7769</v>
      </c>
      <c r="O31" s="17">
        <f>SUM(O20:O30)</f>
        <v>11572</v>
      </c>
      <c r="P31" s="17">
        <f>SUM(P20:P30)</f>
        <v>858</v>
      </c>
      <c r="Q31" s="17"/>
      <c r="R31" s="17">
        <f>SUM(R20:R30)</f>
        <v>7261</v>
      </c>
      <c r="S31" s="17">
        <f>SUM(S20:S30)</f>
        <v>4687</v>
      </c>
      <c r="T31" s="17">
        <f>SUM(T20:T30)</f>
        <v>5166</v>
      </c>
      <c r="U31" s="17">
        <f>SUM(U20:U30)</f>
        <v>2095</v>
      </c>
      <c r="V31" s="18"/>
      <c r="W31" s="3"/>
    </row>
    <row r="32" spans="1:23" x14ac:dyDescent="0.2">
      <c r="A32" s="12"/>
      <c r="B32" s="12"/>
      <c r="C32" s="12"/>
      <c r="D32" s="23"/>
      <c r="E32" s="12" t="s">
        <v>14</v>
      </c>
      <c r="F32" s="12"/>
      <c r="G32" s="12"/>
      <c r="H32" s="12"/>
      <c r="J32" s="12"/>
      <c r="K32" s="23" t="s">
        <v>14</v>
      </c>
      <c r="L32" s="23"/>
      <c r="M32" s="12"/>
      <c r="N32" s="12"/>
      <c r="P32" s="12" t="s">
        <v>14</v>
      </c>
      <c r="Q32" s="12"/>
      <c r="R32" s="12"/>
      <c r="S32" s="12"/>
      <c r="U32" s="12" t="s">
        <v>14</v>
      </c>
      <c r="V32" s="13"/>
      <c r="W32" s="12"/>
    </row>
    <row r="33" spans="1:22" x14ac:dyDescent="0.2">
      <c r="A33" s="12"/>
      <c r="B33" s="12"/>
      <c r="C33" s="12"/>
      <c r="D33" s="23"/>
      <c r="E33" s="12"/>
      <c r="F33" s="12"/>
      <c r="G33" s="12"/>
      <c r="H33" s="12"/>
      <c r="J33" s="12"/>
      <c r="K33" s="12"/>
      <c r="L33" s="23"/>
      <c r="M33" s="12"/>
      <c r="N33" s="12"/>
      <c r="Q33" s="12"/>
      <c r="S33" s="12"/>
      <c r="V33" s="13"/>
    </row>
    <row r="34" spans="1:22" x14ac:dyDescent="0.2">
      <c r="A34" t="s">
        <v>20</v>
      </c>
    </row>
    <row r="35" spans="1:22" x14ac:dyDescent="0.2">
      <c r="A35" t="s">
        <v>21</v>
      </c>
    </row>
  </sheetData>
  <mergeCells count="8">
    <mergeCell ref="F2:H2"/>
    <mergeCell ref="J2:L2"/>
    <mergeCell ref="N2:P2"/>
    <mergeCell ref="M18:P18"/>
    <mergeCell ref="R18:U18"/>
    <mergeCell ref="H18:K18"/>
    <mergeCell ref="A2:D2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Maloney</dc:creator>
  <cp:lastModifiedBy>Dave Maloney</cp:lastModifiedBy>
  <dcterms:created xsi:type="dcterms:W3CDTF">2026-08-11T15:49:11Z</dcterms:created>
  <dcterms:modified xsi:type="dcterms:W3CDTF">2026-08-11T23:41:12Z</dcterms:modified>
</cp:coreProperties>
</file>